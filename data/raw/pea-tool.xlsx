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82A5F708-278A-482B-A592-832E04B364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culating costs" sheetId="3" r:id="rId1"/>
    <sheet name="costs" sheetId="1" r:id="rId2"/>
    <sheet name="GDP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3" l="1"/>
  <c r="J22" i="3"/>
  <c r="J23" i="3"/>
  <c r="J20" i="3"/>
  <c r="B6" i="3"/>
</calcChain>
</file>

<file path=xl/sharedStrings.xml><?xml version="1.0" encoding="utf-8"?>
<sst xmlns="http://schemas.openxmlformats.org/spreadsheetml/2006/main" count="272" uniqueCount="240">
  <si>
    <t>env</t>
  </si>
  <si>
    <t>compartment</t>
  </si>
  <si>
    <t>Country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</si>
  <si>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</si>
  <si>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</si>
  <si>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</si>
  <si>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</si>
  <si>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</si>
  <si>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</si>
  <si>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</si>
  <si>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</si>
  <si>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</si>
  <si>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</si>
  <si>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</si>
  <si>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</si>
  <si>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</si>
  <si>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</si>
  <si>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</si>
  <si>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</si>
  <si>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</si>
  <si>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</si>
  <si>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</si>
  <si>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</si>
  <si>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</si>
  <si>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</si>
  <si>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</si>
  <si>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</si>
  <si>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</si>
  <si>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</si>
  <si>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</si>
  <si>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</si>
  <si>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</si>
  <si>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</si>
  <si>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</si>
  <si>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</si>
  <si>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</si>
  <si>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</si>
  <si>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</si>
  <si>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</si>
  <si>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</si>
  <si>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</si>
  <si>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</si>
  <si>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</si>
  <si>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</si>
  <si>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</si>
  <si>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</si>
  <si>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</si>
  <si>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</si>
  <si>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</si>
  <si>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</si>
  <si>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</si>
  <si>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</si>
  <si>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</si>
  <si>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</si>
  <si>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</si>
  <si>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DR Congo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</si>
  <si>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</si>
  <si>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</si>
  <si>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</si>
  <si>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</si>
  <si>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</si>
  <si>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</si>
  <si>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</si>
  <si>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</si>
  <si>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</si>
  <si>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</si>
  <si>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</si>
  <si>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</si>
  <si>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</si>
  <si>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</si>
  <si>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</si>
  <si>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</si>
  <si>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</si>
  <si>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</si>
  <si>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</si>
  <si>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</si>
  <si>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</si>
  <si>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</si>
  <si>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</si>
  <si>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</si>
  <si>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</si>
  <si>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</si>
  <si>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</si>
  <si>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</si>
  <si>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</si>
  <si>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</si>
  <si>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</si>
  <si>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</si>
  <si>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</si>
  <si>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</si>
  <si>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</si>
  <si>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</si>
  <si>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</si>
  <si>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</si>
  <si>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</si>
  <si>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</si>
  <si>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</si>
  <si>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</si>
  <si>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</si>
  <si>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</si>
  <si>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</si>
  <si>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</si>
  <si>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</si>
  <si>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</si>
  <si>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</si>
  <si>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</si>
  <si>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</si>
  <si>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</si>
  <si>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</si>
  <si>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</si>
  <si>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</si>
  <si>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</si>
  <si>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</si>
  <si>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</si>
  <si>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</si>
  <si>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</si>
  <si>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</si>
  <si>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</si>
  <si>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</si>
  <si>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</si>
  <si>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</si>
  <si>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</si>
  <si>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</si>
  <si>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</si>
  <si>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</si>
  <si>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</si>
  <si>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</si>
  <si>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Mexico</t>
  </si>
  <si>
    <t>Micronesia</t>
  </si>
  <si>
    <t>Moldova</t>
  </si>
  <si>
    <t>Mongolia</t>
  </si>
  <si>
    <t>Monaco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</si>
  <si>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</si>
  <si>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</si>
  <si>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</si>
  <si>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</si>
  <si>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</si>
  <si>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</si>
  <si>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</si>
  <si>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</si>
  <si>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</si>
  <si>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</si>
  <si>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</si>
  <si>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</si>
  <si>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</si>
  <si>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</si>
  <si>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</si>
  <si>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</si>
  <si>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</si>
  <si>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</si>
  <si>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</si>
  <si>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</si>
  <si>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</si>
  <si>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</si>
  <si>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</si>
  <si>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</si>
  <si>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</si>
  <si>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</si>
  <si>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</si>
  <si>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</si>
  <si>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</si>
  <si>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</si>
  <si>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</si>
  <si>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</si>
  <si>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</si>
  <si>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</si>
  <si>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</si>
  <si>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</si>
  <si>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</si>
  <si>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</si>
  <si>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</si>
  <si>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</si>
  <si>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</si>
  <si>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</si>
  <si>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</si>
  <si>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</si>
  <si>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</si>
  <si>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</si>
  <si>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</si>
  <si>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</si>
  <si>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</si>
  <si>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</si>
  <si>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</si>
  <si>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</si>
  <si>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</si>
  <si>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</si>
  <si>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</si>
  <si>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</si>
  <si>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</si>
  <si>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</si>
  <si>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</si>
  <si>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</si>
  <si>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</si>
  <si>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</si>
  <si>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</si>
  <si>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</si>
  <si>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</si>
  <si>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</si>
  <si>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</si>
  <si>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</si>
  <si>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</si>
  <si>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</si>
  <si>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</si>
  <si>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</si>
  <si>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</si>
  <si>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</si>
  <si>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</si>
  <si>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</si>
  <si>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</si>
  <si>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</si>
  <si>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</si>
  <si>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</si>
  <si>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</si>
  <si>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Western Sahara</t>
  </si>
  <si>
    <t>World</t>
  </si>
  <si>
    <t>Yemen</t>
  </si>
  <si>
    <t>Zambia</t>
  </si>
  <si>
    <t>Zimbabwe</t>
  </si>
  <si>
    <t>-</t>
  </si>
  <si>
    <t>GDP_percapita_multiplier</t>
  </si>
  <si>
    <t>GDPag_percaptita_multiplier</t>
  </si>
  <si>
    <t>eco.aqua</t>
  </si>
  <si>
    <t>eco.terr</t>
  </si>
  <si>
    <t>hum</t>
  </si>
  <si>
    <t>Pesticides in sources of drinking water</t>
  </si>
  <si>
    <t>Pollution incidents, fish deaths and monitoring costs</t>
  </si>
  <si>
    <t>Biodiversity/wildlife losses</t>
  </si>
  <si>
    <t>Cultural, landscape, toursim etc. (Hedgerows, dry stone walls, perception of spraying)</t>
  </si>
  <si>
    <t>Bee colony losses</t>
  </si>
  <si>
    <t>Acute effects of pesticides to human health</t>
  </si>
  <si>
    <t>Total</t>
  </si>
  <si>
    <t>cost_euros_kg</t>
  </si>
  <si>
    <t>Cost application for moderate EIQ compound</t>
  </si>
  <si>
    <t>Biodiversity / wildlife losses</t>
  </si>
  <si>
    <t>Landscape / Cultural / tourism value</t>
  </si>
  <si>
    <t>human</t>
  </si>
  <si>
    <t>ecoterr</t>
  </si>
  <si>
    <t>ecoaqu</t>
  </si>
  <si>
    <t>From Adrian's sheet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</si>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</sst>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£&quot;* #,##0.00_-;\-&quot;£&quot;* #,##0.00_-;_-&quot;£&quot;* &quot;-&quot;??_-;_-@_-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</cellXfs>
  <cellStyles count="4">
    <cellStyle name="Currency 2" xfId="2" xr:uid="{698E9EEC-4B79-4DA0-92EC-9F7370EA27DF}"/>
    <cellStyle name="Normal" xfId="0" builtinId="0"/>
    <cellStyle name="Normal 4" xfId="1" xr:uid="{FF0E93F0-3428-4CA2-B6D3-0845BC91F96A}"/>
    <cellStyle name="Percent 3" xfId="3" xr:uid="{E2844FA4-72AB-4F2A-84B0-F60E25EC06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9105-F914-4B19-9DAC-CD45C2DC44BB}">
  <dimension ref="A1:J39"/>
  <sheetViews>
    <sheetView tabSelected="1" topLeftCell="A19" zoomScale="110" zoomScaleNormal="110" workbookViewId="0">
      <selection activeCell="J20" sqref="J20"/>
    </sheetView>
  </sheetViews>
  <sheetFormatPr defaultRowHeight="14.4" x14ac:dyDescent="0.3"/>
  <cols>
    <col min="1" max="1" width="27.88671875" style="1" customWidth="1"/>
    <col min="2" max="2" width="13.88671875" style="1" customWidth="1"/>
    <col min="3" max="3" width="15.33203125" style="1" customWidth="1"/>
    <col min="4" max="4" width="20.109375" style="1" customWidth="1"/>
    <col min="5" max="5" width="16.44140625" style="1" customWidth="1"/>
    <col min="6" max="6" width="8.88671875" style="1"/>
    <col min="7" max="7" width="14.77734375" style="1" customWidth="1"/>
    <col min="8" max="8" width="28.88671875" style="1" customWidth="1"/>
    <col min="9" max="9" width="8.88671875" style="1"/>
    <col min="10" max="10" width="11.5546875" style="1" bestFit="1" customWidth="1"/>
    <col min="11" max="16384" width="8.88671875" style="1"/>
  </cols>
  <sheetData>
    <row r="1" spans="1:2" x14ac:dyDescent="0.3">
      <c r="A1" s="1" t="s">
        <v>1</v>
      </c>
      <c r="B1" s="1" t="s">
        <v>231</v>
      </c>
    </row>
    <row r="2" spans="1:2" x14ac:dyDescent="0.3">
      <c r="A2" s="1" t="s">
        <v>223</v>
      </c>
      <c r="B2" s="1">
        <v>8.4340999798966507</v>
      </c>
    </row>
    <row r="3" spans="1:2" x14ac:dyDescent="0.3">
      <c r="A3" s="1" t="s">
        <v>0</v>
      </c>
      <c r="B3" s="1">
        <v>1.5793213512592963</v>
      </c>
    </row>
    <row r="4" spans="1:2" x14ac:dyDescent="0.3">
      <c r="A4" s="1" t="s">
        <v>221</v>
      </c>
      <c r="B4" s="1">
        <v>1.2299763596494486</v>
      </c>
    </row>
    <row r="5" spans="1:2" x14ac:dyDescent="0.3">
      <c r="A5" s="1" t="s">
        <v>222</v>
      </c>
      <c r="B5" s="1">
        <v>0.9256913508458956</v>
      </c>
    </row>
    <row r="6" spans="1:2" x14ac:dyDescent="0.3">
      <c r="B6" s="1">
        <f>SUM(B2:B5)</f>
        <v>12.16908904165129</v>
      </c>
    </row>
    <row r="9" spans="1:2" ht="28.8" x14ac:dyDescent="0.3">
      <c r="A9" s="1" t="s">
        <v>224</v>
      </c>
      <c r="B9" s="1">
        <v>7.7946313552285149</v>
      </c>
    </row>
    <row r="10" spans="1:2" ht="28.8" x14ac:dyDescent="0.3">
      <c r="A10" s="1" t="s">
        <v>225</v>
      </c>
      <c r="B10" s="1">
        <v>1.2299763596494486</v>
      </c>
    </row>
    <row r="11" spans="1:2" x14ac:dyDescent="0.3">
      <c r="A11" s="1" t="s">
        <v>226</v>
      </c>
      <c r="B11" s="1">
        <v>0.71555632229840649</v>
      </c>
    </row>
    <row r="12" spans="1:2" ht="43.2" x14ac:dyDescent="0.3">
      <c r="A12" s="1" t="s">
        <v>227</v>
      </c>
      <c r="B12" s="1">
        <v>1.5793213512592963</v>
      </c>
    </row>
    <row r="13" spans="1:2" x14ac:dyDescent="0.3">
      <c r="A13" s="1" t="s">
        <v>228</v>
      </c>
      <c r="B13" s="1">
        <v>0.21013502854748911</v>
      </c>
    </row>
    <row r="14" spans="1:2" ht="28.8" x14ac:dyDescent="0.3">
      <c r="A14" s="1" t="s">
        <v>229</v>
      </c>
      <c r="B14" s="1">
        <v>0.63946862466813637</v>
      </c>
    </row>
    <row r="15" spans="1:2" x14ac:dyDescent="0.3">
      <c r="A15" s="1" t="s">
        <v>230</v>
      </c>
      <c r="B15" s="1">
        <v>12.169089041651292</v>
      </c>
    </row>
    <row r="18" spans="1:10" ht="15" thickBot="1" x14ac:dyDescent="0.35">
      <c r="A18" s="1" t="s">
        <v>238</v>
      </c>
    </row>
    <row r="19" spans="1:10" ht="72" x14ac:dyDescent="0.3">
      <c r="A19" s="2"/>
      <c r="B19" s="3" t="s">
        <v>232</v>
      </c>
      <c r="C19" s="3" t="s">
        <v>224</v>
      </c>
      <c r="D19" s="3" t="s">
        <v>225</v>
      </c>
      <c r="E19" s="3" t="s">
        <v>233</v>
      </c>
      <c r="F19" s="3" t="s">
        <v>234</v>
      </c>
      <c r="G19" s="3" t="s">
        <v>228</v>
      </c>
      <c r="H19" s="3" t="s">
        <v>229</v>
      </c>
      <c r="I19" s="4" t="s">
        <v>230</v>
      </c>
    </row>
    <row r="20" spans="1:10" x14ac:dyDescent="0.3">
      <c r="A20" s="5" t="s">
        <v>235</v>
      </c>
      <c r="B20" s="1" t="s">
        <v>235</v>
      </c>
      <c r="C20" s="1">
        <v>7.7946313552285149</v>
      </c>
      <c r="D20" s="1">
        <v>0</v>
      </c>
      <c r="E20" s="1">
        <v>0</v>
      </c>
      <c r="F20" s="1">
        <v>0</v>
      </c>
      <c r="G20" s="1">
        <v>0</v>
      </c>
      <c r="H20" s="1">
        <v>0.63946862466813637</v>
      </c>
      <c r="I20" s="6">
        <v>8.4340999798966507</v>
      </c>
      <c r="J20" s="1">
        <f>I20/$I$28</f>
        <v>0.69307570608031166</v>
      </c>
    </row>
    <row r="21" spans="1:10" x14ac:dyDescent="0.3">
      <c r="A21" s="5" t="s">
        <v>0</v>
      </c>
      <c r="B21" s="1" t="s">
        <v>0</v>
      </c>
      <c r="C21" s="1">
        <v>0</v>
      </c>
      <c r="D21" s="1">
        <v>0.61498817982472431</v>
      </c>
      <c r="E21" s="1">
        <v>0</v>
      </c>
      <c r="F21" s="1">
        <v>1.5793213512592963</v>
      </c>
      <c r="G21" s="1">
        <v>0</v>
      </c>
      <c r="H21" s="1">
        <v>0</v>
      </c>
      <c r="I21" s="6">
        <v>2.1943095310840208</v>
      </c>
      <c r="J21" s="1">
        <f t="shared" ref="J21:J23" si="0">I21/$I$28</f>
        <v>0.18031830678315613</v>
      </c>
    </row>
    <row r="22" spans="1:10" x14ac:dyDescent="0.3">
      <c r="A22" s="5" t="s">
        <v>236</v>
      </c>
      <c r="B22" s="1" t="s">
        <v>236</v>
      </c>
      <c r="C22" s="1">
        <v>0</v>
      </c>
      <c r="D22" s="1">
        <v>0</v>
      </c>
      <c r="E22" s="1">
        <v>0.35777816114920324</v>
      </c>
      <c r="F22" s="1">
        <v>0</v>
      </c>
      <c r="G22" s="1">
        <v>0.21013502854748911</v>
      </c>
      <c r="H22" s="1">
        <v>0</v>
      </c>
      <c r="I22" s="6">
        <v>0.56791318969669236</v>
      </c>
      <c r="J22" s="1">
        <f t="shared" si="0"/>
        <v>4.6668504746155519E-2</v>
      </c>
    </row>
    <row r="23" spans="1:10" x14ac:dyDescent="0.3">
      <c r="A23" s="5" t="s">
        <v>237</v>
      </c>
      <c r="B23" s="1" t="s">
        <v>237</v>
      </c>
      <c r="C23" s="1">
        <v>0</v>
      </c>
      <c r="D23" s="1">
        <v>0.61498817982472431</v>
      </c>
      <c r="E23" s="1">
        <v>0.35777816114920324</v>
      </c>
      <c r="F23" s="1">
        <v>0</v>
      </c>
      <c r="G23" s="1">
        <v>0</v>
      </c>
      <c r="H23" s="1">
        <v>0</v>
      </c>
      <c r="I23" s="6">
        <v>0.97276634097392756</v>
      </c>
      <c r="J23" s="1">
        <f t="shared" si="0"/>
        <v>7.9937482390376818E-2</v>
      </c>
    </row>
    <row r="24" spans="1:10" x14ac:dyDescent="0.3">
      <c r="A24" s="5"/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6">
        <v>0</v>
      </c>
    </row>
    <row r="25" spans="1:10" x14ac:dyDescent="0.3">
      <c r="A25" s="5"/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6">
        <v>0</v>
      </c>
    </row>
    <row r="26" spans="1:10" x14ac:dyDescent="0.3">
      <c r="A26" s="5"/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6">
        <v>0</v>
      </c>
    </row>
    <row r="27" spans="1:10" x14ac:dyDescent="0.3">
      <c r="A27" s="5"/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6">
        <v>0</v>
      </c>
    </row>
    <row r="28" spans="1:10" ht="15" thickBot="1" x14ac:dyDescent="0.35">
      <c r="A28" s="7"/>
      <c r="B28" s="8"/>
      <c r="C28" s="8">
        <v>7.7946313552285149</v>
      </c>
      <c r="D28" s="8">
        <v>1.2299763596494486</v>
      </c>
      <c r="E28" s="8">
        <v>0.71555632229840649</v>
      </c>
      <c r="F28" s="8">
        <v>1.5793213512592963</v>
      </c>
      <c r="G28" s="8">
        <v>0.21013502854748911</v>
      </c>
      <c r="H28" s="8">
        <v>0.63946862466813637</v>
      </c>
      <c r="I28" s="9">
        <v>12.16908904165129</v>
      </c>
    </row>
    <row r="29" spans="1:10" ht="15" thickBot="1" x14ac:dyDescent="0.35"/>
    <row r="30" spans="1:10" ht="72" x14ac:dyDescent="0.3">
      <c r="A30" s="2"/>
      <c r="B30" s="3"/>
      <c r="C30" s="3" t="s">
        <v>224</v>
      </c>
      <c r="D30" s="3" t="s">
        <v>225</v>
      </c>
      <c r="E30" s="3" t="s">
        <v>233</v>
      </c>
      <c r="F30" s="3" t="s">
        <v>234</v>
      </c>
      <c r="G30" s="3" t="s">
        <v>228</v>
      </c>
      <c r="H30" s="3" t="s">
        <v>229</v>
      </c>
      <c r="I30" s="4" t="s">
        <v>230</v>
      </c>
    </row>
    <row r="31" spans="1:10" x14ac:dyDescent="0.3">
      <c r="A31" s="5" t="s">
        <v>235</v>
      </c>
      <c r="C31" s="1">
        <v>1</v>
      </c>
      <c r="H31" s="1">
        <v>1</v>
      </c>
      <c r="I31" s="6"/>
    </row>
    <row r="32" spans="1:10" x14ac:dyDescent="0.3">
      <c r="A32" s="5" t="s">
        <v>0</v>
      </c>
      <c r="D32" s="1" t="s">
        <v>239</v>
      </c>
      <c r="F32" s="1">
        <v>1</v>
      </c>
      <c r="I32" s="6"/>
    </row>
    <row r="33" spans="1:9" x14ac:dyDescent="0.3">
      <c r="A33" s="5" t="s">
        <v>236</v>
      </c>
      <c r="E33" s="1" t="s">
        <v>239</v>
      </c>
      <c r="G33" s="1">
        <v>1</v>
      </c>
      <c r="I33" s="6"/>
    </row>
    <row r="34" spans="1:9" x14ac:dyDescent="0.3">
      <c r="A34" s="5" t="s">
        <v>237</v>
      </c>
      <c r="D34" s="1" t="s">
        <v>239</v>
      </c>
      <c r="E34" s="1" t="s">
        <v>239</v>
      </c>
      <c r="I34" s="6"/>
    </row>
    <row r="35" spans="1:9" x14ac:dyDescent="0.3">
      <c r="A35" s="5"/>
      <c r="I35" s="6"/>
    </row>
    <row r="36" spans="1:9" x14ac:dyDescent="0.3">
      <c r="A36" s="5"/>
      <c r="I36" s="6"/>
    </row>
    <row r="37" spans="1:9" x14ac:dyDescent="0.3">
      <c r="A37" s="5"/>
      <c r="I37" s="6"/>
    </row>
    <row r="38" spans="1:9" x14ac:dyDescent="0.3">
      <c r="A38" s="5"/>
      <c r="I38" s="6"/>
    </row>
    <row r="39" spans="1:9" ht="15" thickBot="1" x14ac:dyDescent="0.35">
      <c r="A39" s="7"/>
      <c r="B39" s="8"/>
      <c r="C39" s="8"/>
      <c r="D39" s="8"/>
      <c r="E39" s="8"/>
      <c r="F39" s="8"/>
      <c r="G39" s="8"/>
      <c r="H39" s="8"/>
      <c r="I39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B5"/>
  <sheetViews>
    <sheetView workbookViewId="0">
      <selection activeCell="B2" sqref="B2"/>
    </sheetView>
  </sheetViews>
  <sheetFormatPr defaultRowHeight="14.4" x14ac:dyDescent="0.3"/>
  <cols>
    <col min="1" max="1" width="31.44140625" customWidth="1"/>
  </cols>
  <sheetData>
    <row r="1" spans="1:2" x14ac:dyDescent="0.3">
      <c r="A1" t="s">
        <v>1</v>
      </c>
      <c r="B1" t="s">
        <v>231</v>
      </c>
    </row>
    <row r="2" spans="1:2" x14ac:dyDescent="0.3">
      <c r="A2" t="s">
        <v>223</v>
      </c>
      <c r="B2">
        <v>8.4340999798966507</v>
      </c>
    </row>
    <row r="3" spans="1:2" x14ac:dyDescent="0.3">
      <c r="A3" t="s">
        <v>0</v>
      </c>
      <c r="B3">
        <v>2.1943095310840208</v>
      </c>
    </row>
    <row r="4" spans="1:2" x14ac:dyDescent="0.3">
      <c r="A4" t="s">
        <v>221</v>
      </c>
      <c r="B4">
        <v>0.56791318969669236</v>
      </c>
    </row>
    <row r="5" spans="1:2" x14ac:dyDescent="0.3">
      <c r="A5" t="s">
        <v>222</v>
      </c>
      <c r="B5">
        <v>0.97276634097392756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648E7-D030-4C64-9BB1-9DB3E6A86316}">
  <dimension ref="A1:C216"/>
  <sheetViews>
    <sheetView workbookViewId="0">
      <selection activeCell="B15" sqref="B15"/>
    </sheetView>
  </sheetViews>
  <sheetFormatPr defaultRowHeight="14.4" x14ac:dyDescent="0.3"/>
  <cols>
    <col min="1" max="1" width="27.77734375" bestFit="1" customWidth="1"/>
    <col min="2" max="2" width="39.5546875" bestFit="1" customWidth="1"/>
    <col min="3" max="3" width="53.6640625" bestFit="1" customWidth="1"/>
  </cols>
  <sheetData>
    <row r="1" spans="1:3" x14ac:dyDescent="0.3">
      <c r="A1" t="s">
        <v>2</v>
      </c>
      <c r="B1" t="s">
        <v>219</v>
      </c>
      <c r="C1" t="s">
        <v>220</v>
      </c>
    </row>
    <row r="2" spans="1:3" x14ac:dyDescent="0.3">
      <c r="A2" t="s">
        <v>3</v>
      </c>
      <c r="B2">
        <v>2.4700447699837293E-2</v>
      </c>
      <c r="C2">
        <v>40.687934007852668</v>
      </c>
    </row>
    <row r="3" spans="1:3" x14ac:dyDescent="0.3">
      <c r="A3" t="s">
        <v>4</v>
      </c>
      <c r="B3">
        <v>0.27349906711409699</v>
      </c>
      <c r="C3">
        <v>18.17472556546733</v>
      </c>
    </row>
    <row r="4" spans="1:3" x14ac:dyDescent="0.3">
      <c r="A4" t="s">
        <v>5</v>
      </c>
      <c r="B4">
        <v>0.22137099566309726</v>
      </c>
      <c r="C4">
        <v>15.360574510169165</v>
      </c>
    </row>
    <row r="5" spans="1:3" x14ac:dyDescent="0.3">
      <c r="A5" t="s">
        <v>6</v>
      </c>
      <c r="B5">
        <v>0.96158382715067958</v>
      </c>
      <c r="C5">
        <v>0.58628146985378493</v>
      </c>
    </row>
    <row r="6" spans="1:3" x14ac:dyDescent="0.3">
      <c r="A6" t="s">
        <v>7</v>
      </c>
      <c r="B6">
        <v>0.11263507339394682</v>
      </c>
      <c r="C6">
        <v>19.230032211204147</v>
      </c>
    </row>
    <row r="7" spans="1:3" x14ac:dyDescent="0.3">
      <c r="A7" t="s">
        <v>8</v>
      </c>
      <c r="B7">
        <v>0.44038320952997195</v>
      </c>
      <c r="C7">
        <v>2.2278695854443824</v>
      </c>
    </row>
    <row r="8" spans="1:3" x14ac:dyDescent="0.3">
      <c r="A8" t="s">
        <v>9</v>
      </c>
      <c r="B8">
        <v>0.38279014884786627</v>
      </c>
      <c r="C8">
        <v>7.0353776382454187</v>
      </c>
    </row>
    <row r="9" spans="1:3" x14ac:dyDescent="0.3">
      <c r="A9" t="s">
        <v>10</v>
      </c>
      <c r="B9">
        <v>0.29474942447381847</v>
      </c>
      <c r="C9">
        <v>9.2632472236898007</v>
      </c>
    </row>
    <row r="10" spans="1:3" x14ac:dyDescent="0.3">
      <c r="A10" t="s">
        <v>11</v>
      </c>
      <c r="B10">
        <v>0.57231305019433909</v>
      </c>
      <c r="C10">
        <v>0</v>
      </c>
    </row>
    <row r="11" spans="1:3" x14ac:dyDescent="0.3">
      <c r="A11" t="s">
        <v>12</v>
      </c>
      <c r="B11">
        <v>0.89004385239724693</v>
      </c>
      <c r="C11">
        <v>2.5796384673566535</v>
      </c>
    </row>
    <row r="12" spans="1:3" x14ac:dyDescent="0.3">
      <c r="A12" t="s">
        <v>13</v>
      </c>
      <c r="B12">
        <v>0.90210771633067122</v>
      </c>
      <c r="C12">
        <v>1.4070755276490838</v>
      </c>
    </row>
    <row r="13" spans="1:3" x14ac:dyDescent="0.3">
      <c r="A13" t="s">
        <v>14</v>
      </c>
      <c r="B13">
        <v>0.31194934942361385</v>
      </c>
      <c r="C13">
        <v>6.6836087563331485</v>
      </c>
    </row>
    <row r="14" spans="1:3" x14ac:dyDescent="0.3">
      <c r="A14" t="s">
        <v>15</v>
      </c>
      <c r="B14">
        <v>0.50418786630829626</v>
      </c>
      <c r="C14">
        <v>0.58628146985378493</v>
      </c>
    </row>
    <row r="15" spans="1:3" x14ac:dyDescent="0.3">
      <c r="A15" t="s">
        <v>16</v>
      </c>
      <c r="B15">
        <v>0.83267970127008906</v>
      </c>
      <c r="C15">
        <v>0.35176888191227096</v>
      </c>
    </row>
    <row r="16" spans="1:3" x14ac:dyDescent="0.3">
      <c r="A16" t="s">
        <v>17</v>
      </c>
      <c r="B16">
        <v>0.12164997516809004</v>
      </c>
      <c r="C16">
        <v>13.132704924724782</v>
      </c>
    </row>
    <row r="17" spans="1:3" x14ac:dyDescent="0.3">
      <c r="A17" t="s">
        <v>18</v>
      </c>
      <c r="B17">
        <v>0.28784431306317987</v>
      </c>
      <c r="C17">
        <v>2.2278695854443824</v>
      </c>
    </row>
    <row r="18" spans="1:3" x14ac:dyDescent="0.3">
      <c r="A18" t="s">
        <v>19</v>
      </c>
      <c r="B18">
        <v>0.41519736187693052</v>
      </c>
      <c r="C18">
        <v>8.0906842839822328</v>
      </c>
    </row>
    <row r="19" spans="1:3" x14ac:dyDescent="0.3">
      <c r="A19" t="s">
        <v>20</v>
      </c>
      <c r="B19">
        <v>0.91366017404286182</v>
      </c>
      <c r="C19">
        <v>0.93805035176605589</v>
      </c>
    </row>
    <row r="20" spans="1:3" x14ac:dyDescent="0.3">
      <c r="A20" t="s">
        <v>21</v>
      </c>
      <c r="B20">
        <v>0.18866429402593216</v>
      </c>
      <c r="C20">
        <v>9.4977598116313153</v>
      </c>
    </row>
    <row r="21" spans="1:3" x14ac:dyDescent="0.3">
      <c r="A21" t="s">
        <v>22</v>
      </c>
      <c r="B21">
        <v>5.628503138851209E-2</v>
      </c>
      <c r="C21">
        <v>28.376023140923188</v>
      </c>
    </row>
    <row r="22" spans="1:3" x14ac:dyDescent="0.3">
      <c r="A22" t="s">
        <v>23</v>
      </c>
      <c r="B22">
        <v>1.557160962953942</v>
      </c>
      <c r="C22">
        <v>0.23451258794151397</v>
      </c>
    </row>
    <row r="23" spans="1:3" x14ac:dyDescent="0.3">
      <c r="A23" t="s">
        <v>24</v>
      </c>
      <c r="B23">
        <v>0.20816638192672446</v>
      </c>
      <c r="C23">
        <v>17.588444095613546</v>
      </c>
    </row>
    <row r="24" spans="1:3" x14ac:dyDescent="0.3">
      <c r="A24" t="s">
        <v>25</v>
      </c>
      <c r="B24">
        <v>0.13981335032830916</v>
      </c>
      <c r="C24">
        <v>15.829599686052193</v>
      </c>
    </row>
    <row r="25" spans="1:3" x14ac:dyDescent="0.3">
      <c r="A25" t="s">
        <v>26</v>
      </c>
      <c r="B25">
        <v>0.28838401945633146</v>
      </c>
      <c r="C25">
        <v>5.0420206407425496</v>
      </c>
    </row>
    <row r="26" spans="1:3" x14ac:dyDescent="0.3">
      <c r="A26" t="s">
        <v>27</v>
      </c>
      <c r="B26">
        <v>0.25538073261316235</v>
      </c>
      <c r="C26">
        <v>1.9933569975028689</v>
      </c>
    </row>
    <row r="27" spans="1:3" x14ac:dyDescent="0.3">
      <c r="A27" t="s">
        <v>28</v>
      </c>
      <c r="B27">
        <v>0.27990296429903749</v>
      </c>
      <c r="C27">
        <v>6.5663524623623912</v>
      </c>
    </row>
    <row r="28" spans="1:3" x14ac:dyDescent="0.3">
      <c r="A28" t="s">
        <v>29</v>
      </c>
      <c r="B28">
        <v>1.1367957362065673</v>
      </c>
      <c r="C28">
        <v>1.4070755276490838</v>
      </c>
    </row>
    <row r="29" spans="1:3" x14ac:dyDescent="0.3">
      <c r="A29" t="s">
        <v>30</v>
      </c>
      <c r="B29">
        <v>0.47451883160548053</v>
      </c>
      <c r="C29">
        <v>2.4623821733858966</v>
      </c>
    </row>
    <row r="30" spans="1:3" x14ac:dyDescent="0.3">
      <c r="A30" t="s">
        <v>31</v>
      </c>
      <c r="B30">
        <v>3.6551462131367458E-2</v>
      </c>
      <c r="C30">
        <v>21.809670678560799</v>
      </c>
    </row>
    <row r="31" spans="1:3" x14ac:dyDescent="0.3">
      <c r="A31" t="s">
        <v>32</v>
      </c>
      <c r="B31">
        <v>1.1903439618007442E-2</v>
      </c>
      <c r="C31">
        <v>29.665842374601517</v>
      </c>
    </row>
    <row r="32" spans="1:3" x14ac:dyDescent="0.3">
      <c r="A32" t="s">
        <v>33</v>
      </c>
      <c r="B32">
        <v>0.10057022298712802</v>
      </c>
      <c r="C32">
        <v>19.46454479914566</v>
      </c>
    </row>
    <row r="33" spans="1:3" x14ac:dyDescent="0.3">
      <c r="A33" t="s">
        <v>34</v>
      </c>
      <c r="B33">
        <v>7.0448103403569981E-2</v>
      </c>
      <c r="C33">
        <v>20.402595150911715</v>
      </c>
    </row>
    <row r="34" spans="1:3" x14ac:dyDescent="0.3">
      <c r="A34" t="s">
        <v>35</v>
      </c>
      <c r="B34">
        <v>0.8376566307697626</v>
      </c>
      <c r="C34">
        <v>1.8761007035321118</v>
      </c>
    </row>
    <row r="35" spans="1:3" x14ac:dyDescent="0.3">
      <c r="A35" t="s">
        <v>36</v>
      </c>
      <c r="B35">
        <v>0.14336572763872768</v>
      </c>
      <c r="C35">
        <v>5.511045816625578</v>
      </c>
    </row>
    <row r="36" spans="1:3" x14ac:dyDescent="0.3">
      <c r="A36" t="s">
        <v>37</v>
      </c>
      <c r="B36">
        <v>1.1044890010651884</v>
      </c>
      <c r="C36">
        <v>0.58628146985378493</v>
      </c>
    </row>
    <row r="37" spans="1:3" x14ac:dyDescent="0.3">
      <c r="A37" t="s">
        <v>38</v>
      </c>
      <c r="B37">
        <v>1.6062842260034026E-2</v>
      </c>
      <c r="C37">
        <v>38.108295540496023</v>
      </c>
    </row>
    <row r="38" spans="1:3" x14ac:dyDescent="0.3">
      <c r="A38" t="s">
        <v>39</v>
      </c>
      <c r="B38">
        <v>3.5790405307339478E-2</v>
      </c>
      <c r="C38">
        <v>37.756526658583752</v>
      </c>
    </row>
    <row r="39" spans="1:3" x14ac:dyDescent="0.3">
      <c r="A39" t="s">
        <v>40</v>
      </c>
      <c r="B39">
        <v>0.43152871651269664</v>
      </c>
      <c r="C39">
        <v>4.5729954648595221</v>
      </c>
    </row>
    <row r="40" spans="1:3" x14ac:dyDescent="0.3">
      <c r="A40" t="s">
        <v>41</v>
      </c>
      <c r="B40">
        <v>0.33942170796047011</v>
      </c>
      <c r="C40">
        <v>7.9734279900114755</v>
      </c>
    </row>
    <row r="41" spans="1:3" x14ac:dyDescent="0.3">
      <c r="A41" t="s">
        <v>42</v>
      </c>
      <c r="B41">
        <v>0.26767015675623013</v>
      </c>
      <c r="C41">
        <v>10.9048353392804</v>
      </c>
    </row>
    <row r="42" spans="1:3" x14ac:dyDescent="0.3">
      <c r="A42" t="s">
        <v>43</v>
      </c>
      <c r="B42">
        <v>5.0503369068939923E-2</v>
      </c>
      <c r="C42">
        <v>42.915803593297056</v>
      </c>
    </row>
    <row r="43" spans="1:3" x14ac:dyDescent="0.3">
      <c r="A43" t="s">
        <v>44</v>
      </c>
      <c r="B43">
        <v>7.2051785157095039E-2</v>
      </c>
      <c r="C43">
        <v>11.022091633251156</v>
      </c>
    </row>
    <row r="44" spans="1:3" x14ac:dyDescent="0.3">
      <c r="A44" t="s">
        <v>45</v>
      </c>
      <c r="B44">
        <v>0.38532028366478893</v>
      </c>
      <c r="C44">
        <v>4.2212265829472511</v>
      </c>
    </row>
    <row r="45" spans="1:3" x14ac:dyDescent="0.3">
      <c r="A45" t="s">
        <v>46</v>
      </c>
      <c r="B45">
        <v>0.60798123360541512</v>
      </c>
      <c r="C45">
        <v>3.9867139950057378</v>
      </c>
    </row>
    <row r="46" spans="1:3" x14ac:dyDescent="0.3">
      <c r="A46" t="s">
        <v>47</v>
      </c>
      <c r="B46">
        <v>9.4959325988371326E-2</v>
      </c>
      <c r="C46">
        <v>1.5243318216198407</v>
      </c>
    </row>
    <row r="47" spans="1:3" x14ac:dyDescent="0.3">
      <c r="A47" t="s">
        <v>48</v>
      </c>
      <c r="B47">
        <v>0.30752878230206915</v>
      </c>
      <c r="C47">
        <v>0.35176888191227096</v>
      </c>
    </row>
    <row r="48" spans="1:3" x14ac:dyDescent="0.3">
      <c r="A48" t="s">
        <v>49</v>
      </c>
      <c r="B48">
        <v>0.53183782899152621</v>
      </c>
      <c r="C48">
        <v>1.4070755276490838</v>
      </c>
    </row>
    <row r="49" spans="1:3" x14ac:dyDescent="0.3">
      <c r="A49" t="s">
        <v>50</v>
      </c>
      <c r="B49">
        <v>0.71264257001194165</v>
      </c>
      <c r="C49">
        <v>1.7588444095613547</v>
      </c>
    </row>
    <row r="50" spans="1:3" x14ac:dyDescent="0.3">
      <c r="A50" t="s">
        <v>51</v>
      </c>
      <c r="B50">
        <v>1.0379745990578126</v>
      </c>
      <c r="C50">
        <v>0.8207940577952989</v>
      </c>
    </row>
    <row r="51" spans="1:3" x14ac:dyDescent="0.3">
      <c r="A51" t="s">
        <v>52</v>
      </c>
      <c r="B51">
        <v>9.5610090467397352E-2</v>
      </c>
      <c r="C51">
        <v>3.0486636432396814</v>
      </c>
    </row>
    <row r="52" spans="1:3" x14ac:dyDescent="0.3">
      <c r="A52" t="s">
        <v>53</v>
      </c>
      <c r="B52">
        <v>0.25227286092286766</v>
      </c>
      <c r="C52">
        <v>14.305267864432352</v>
      </c>
    </row>
    <row r="53" spans="1:3" x14ac:dyDescent="0.3">
      <c r="A53" t="s">
        <v>54</v>
      </c>
      <c r="B53">
        <v>0.3475429099674846</v>
      </c>
      <c r="C53">
        <v>5.2765332286840643</v>
      </c>
    </row>
    <row r="54" spans="1:3" x14ac:dyDescent="0.3">
      <c r="A54" t="s">
        <v>55</v>
      </c>
      <c r="B54">
        <v>2.1628023631198007E-2</v>
      </c>
      <c r="C54">
        <v>20.050826268999444</v>
      </c>
    </row>
    <row r="55" spans="1:3" x14ac:dyDescent="0.3">
      <c r="A55" t="s">
        <v>56</v>
      </c>
      <c r="B55">
        <v>0.19831450200077413</v>
      </c>
      <c r="C55">
        <v>11.139347927221912</v>
      </c>
    </row>
    <row r="56" spans="1:3" x14ac:dyDescent="0.3">
      <c r="A56" t="s">
        <v>57</v>
      </c>
      <c r="B56">
        <v>0.24084053130870312</v>
      </c>
      <c r="C56">
        <v>16.064112273993707</v>
      </c>
    </row>
    <row r="57" spans="1:3" x14ac:dyDescent="0.3">
      <c r="A57" t="s">
        <v>58</v>
      </c>
      <c r="B57">
        <v>0.16635964759163871</v>
      </c>
      <c r="C57">
        <v>5.159276934713307</v>
      </c>
    </row>
    <row r="58" spans="1:3" x14ac:dyDescent="0.3">
      <c r="A58" t="s">
        <v>59</v>
      </c>
      <c r="B58">
        <v>0.21635816652917134</v>
      </c>
      <c r="C58">
        <v>3.6349451130934662</v>
      </c>
    </row>
    <row r="59" spans="1:3" x14ac:dyDescent="0.3">
      <c r="A59" t="s">
        <v>60</v>
      </c>
      <c r="B59">
        <v>1.6219103682584168E-2</v>
      </c>
      <c r="C59">
        <v>16.533137449876733</v>
      </c>
    </row>
    <row r="60" spans="1:3" x14ac:dyDescent="0.3">
      <c r="A60" t="s">
        <v>61</v>
      </c>
      <c r="B60">
        <v>0.6074219921669135</v>
      </c>
      <c r="C60">
        <v>2.2278695854443824</v>
      </c>
    </row>
    <row r="61" spans="1:3" x14ac:dyDescent="0.3">
      <c r="A61" t="s">
        <v>62</v>
      </c>
      <c r="B61">
        <v>0.1514354455241419</v>
      </c>
      <c r="C61">
        <v>7.9734279900114755</v>
      </c>
    </row>
    <row r="62" spans="1:3" x14ac:dyDescent="0.3">
      <c r="A62" t="s">
        <v>63</v>
      </c>
      <c r="B62">
        <v>4.2095948490774603E-2</v>
      </c>
      <c r="C62">
        <v>40.922446595794185</v>
      </c>
    </row>
    <row r="63" spans="1:3" x14ac:dyDescent="0.3">
      <c r="A63" t="s">
        <v>64</v>
      </c>
      <c r="B63">
        <v>0.5701702582232745</v>
      </c>
      <c r="C63">
        <v>1.5243318216198407</v>
      </c>
    </row>
    <row r="64" spans="1:3" x14ac:dyDescent="0.3">
      <c r="A64" t="s">
        <v>65</v>
      </c>
      <c r="B64">
        <v>0.86593393574415212</v>
      </c>
      <c r="C64">
        <v>21.34064550267777</v>
      </c>
    </row>
    <row r="65" spans="1:3" x14ac:dyDescent="0.3">
      <c r="A65" t="s">
        <v>66</v>
      </c>
      <c r="B65">
        <v>0.20097003857547552</v>
      </c>
      <c r="C65">
        <v>9.8495286935435864</v>
      </c>
    </row>
    <row r="66" spans="1:3" x14ac:dyDescent="0.3">
      <c r="A66" t="s">
        <v>67</v>
      </c>
      <c r="B66">
        <v>0.79853269372810087</v>
      </c>
      <c r="C66">
        <v>2.9314073492689245</v>
      </c>
    </row>
    <row r="67" spans="1:3" x14ac:dyDescent="0.3">
      <c r="A67" t="s">
        <v>68</v>
      </c>
      <c r="B67">
        <v>0.80025697393655471</v>
      </c>
      <c r="C67">
        <v>1.6415881155905978</v>
      </c>
    </row>
    <row r="68" spans="1:3" x14ac:dyDescent="0.3">
      <c r="A68" t="s">
        <v>69</v>
      </c>
      <c r="B68">
        <v>0</v>
      </c>
      <c r="C68">
        <v>0</v>
      </c>
    </row>
    <row r="69" spans="1:3" x14ac:dyDescent="0.3">
      <c r="A69" t="s">
        <v>70</v>
      </c>
      <c r="B69">
        <v>0</v>
      </c>
      <c r="C69">
        <v>2.5796384673566535</v>
      </c>
    </row>
    <row r="70" spans="1:3" x14ac:dyDescent="0.3">
      <c r="A70" t="s">
        <v>71</v>
      </c>
      <c r="B70">
        <v>0.2699062593616689</v>
      </c>
      <c r="C70">
        <v>7.2698902261869325</v>
      </c>
    </row>
    <row r="71" spans="1:3" x14ac:dyDescent="0.3">
      <c r="A71" t="s">
        <v>72</v>
      </c>
      <c r="B71">
        <v>4.3780675013597337E-2</v>
      </c>
      <c r="C71">
        <v>28.258766846952433</v>
      </c>
    </row>
    <row r="72" spans="1:3" x14ac:dyDescent="0.3">
      <c r="A72" t="s">
        <v>73</v>
      </c>
      <c r="B72">
        <v>0.34822136666759379</v>
      </c>
      <c r="C72">
        <v>6.3318398744208766</v>
      </c>
    </row>
    <row r="73" spans="1:3" x14ac:dyDescent="0.3">
      <c r="A73" t="s">
        <v>74</v>
      </c>
      <c r="B73">
        <v>0.88354472324121869</v>
      </c>
      <c r="C73">
        <v>0.93805035176605589</v>
      </c>
    </row>
    <row r="74" spans="1:3" x14ac:dyDescent="0.3">
      <c r="A74" t="s">
        <v>75</v>
      </c>
      <c r="B74">
        <v>0.10131078941883068</v>
      </c>
      <c r="C74">
        <v>24.272052851946693</v>
      </c>
    </row>
    <row r="75" spans="1:3" x14ac:dyDescent="0.3">
      <c r="A75" t="s">
        <v>76</v>
      </c>
      <c r="B75">
        <v>0.5614251072971107</v>
      </c>
      <c r="C75">
        <v>3.8694577010349804</v>
      </c>
    </row>
    <row r="76" spans="1:3" x14ac:dyDescent="0.3">
      <c r="A76" t="s">
        <v>77</v>
      </c>
      <c r="B76">
        <v>0.9123939837244911</v>
      </c>
      <c r="C76">
        <v>19.46454479914566</v>
      </c>
    </row>
    <row r="77" spans="1:3" x14ac:dyDescent="0.3">
      <c r="A77" t="s">
        <v>78</v>
      </c>
      <c r="B77">
        <v>0.2485005945737947</v>
      </c>
      <c r="C77">
        <v>3.1659199372104383</v>
      </c>
    </row>
    <row r="78" spans="1:3" x14ac:dyDescent="0.3">
      <c r="A78" t="s">
        <v>79</v>
      </c>
      <c r="B78">
        <v>0</v>
      </c>
      <c r="C78">
        <v>0</v>
      </c>
    </row>
    <row r="79" spans="1:3" x14ac:dyDescent="0.3">
      <c r="A79" t="s">
        <v>80</v>
      </c>
      <c r="B79">
        <v>0</v>
      </c>
      <c r="C79">
        <v>0</v>
      </c>
    </row>
    <row r="80" spans="1:3" x14ac:dyDescent="0.3">
      <c r="A80" t="s">
        <v>81</v>
      </c>
      <c r="B80">
        <v>0.18141790643610731</v>
      </c>
      <c r="C80">
        <v>11.491116809134185</v>
      </c>
    </row>
    <row r="81" spans="1:3" x14ac:dyDescent="0.3">
      <c r="A81" t="s">
        <v>82</v>
      </c>
      <c r="B81">
        <v>5.8658033240130546E-2</v>
      </c>
      <c r="C81">
        <v>34.707863015344067</v>
      </c>
    </row>
    <row r="82" spans="1:3" x14ac:dyDescent="0.3">
      <c r="A82" t="s">
        <v>83</v>
      </c>
      <c r="B82">
        <v>3.747167338573465E-2</v>
      </c>
      <c r="C82">
        <v>43.150316181238566</v>
      </c>
    </row>
    <row r="83" spans="1:3" x14ac:dyDescent="0.3">
      <c r="A83" t="s">
        <v>84</v>
      </c>
      <c r="B83">
        <v>1.032465000512278</v>
      </c>
      <c r="C83">
        <v>9.3805035176605589</v>
      </c>
    </row>
    <row r="84" spans="1:3" x14ac:dyDescent="0.3">
      <c r="A84" t="s">
        <v>85</v>
      </c>
      <c r="B84">
        <v>3.9526393924034862E-2</v>
      </c>
      <c r="C84">
        <v>18.64375074135036</v>
      </c>
    </row>
    <row r="85" spans="1:3" x14ac:dyDescent="0.3">
      <c r="A85" t="s">
        <v>86</v>
      </c>
      <c r="B85">
        <v>9.422921952394013E-2</v>
      </c>
      <c r="C85">
        <v>13.132704924724782</v>
      </c>
    </row>
    <row r="86" spans="1:3" x14ac:dyDescent="0.3">
      <c r="A86" t="s">
        <v>87</v>
      </c>
      <c r="B86">
        <v>0.95557908619071519</v>
      </c>
      <c r="C86">
        <v>0</v>
      </c>
    </row>
    <row r="87" spans="1:3" x14ac:dyDescent="0.3">
      <c r="A87" t="s">
        <v>88</v>
      </c>
      <c r="B87">
        <v>0.57910723723903224</v>
      </c>
      <c r="C87">
        <v>2.8141510552981677</v>
      </c>
    </row>
    <row r="88" spans="1:3" x14ac:dyDescent="0.3">
      <c r="A88" t="s">
        <v>89</v>
      </c>
      <c r="B88">
        <v>0.98802949253332029</v>
      </c>
      <c r="C88">
        <v>4.6902517588302794</v>
      </c>
    </row>
    <row r="89" spans="1:3" x14ac:dyDescent="0.3">
      <c r="A89" t="s">
        <v>90</v>
      </c>
      <c r="B89">
        <v>0.14189980937731336</v>
      </c>
      <c r="C89">
        <v>19.230032211204147</v>
      </c>
    </row>
    <row r="90" spans="1:3" x14ac:dyDescent="0.3">
      <c r="A90" t="s">
        <v>91</v>
      </c>
      <c r="B90">
        <v>0.20805777414559115</v>
      </c>
      <c r="C90">
        <v>14.77429304031538</v>
      </c>
    </row>
    <row r="91" spans="1:3" x14ac:dyDescent="0.3">
      <c r="A91" t="s">
        <v>92</v>
      </c>
      <c r="B91">
        <v>0.2301140280155925</v>
      </c>
      <c r="C91">
        <v>15.243318216198409</v>
      </c>
    </row>
    <row r="92" spans="1:3" x14ac:dyDescent="0.3">
      <c r="A92" t="s">
        <v>93</v>
      </c>
      <c r="B92">
        <v>0.18068938353354017</v>
      </c>
      <c r="C92">
        <v>3.9867139950057378</v>
      </c>
    </row>
    <row r="93" spans="1:3" x14ac:dyDescent="0.3">
      <c r="A93" t="s">
        <v>94</v>
      </c>
      <c r="B93">
        <v>1.6794618230795797</v>
      </c>
      <c r="C93">
        <v>1.2898192336783267</v>
      </c>
    </row>
    <row r="94" spans="1:3" x14ac:dyDescent="0.3">
      <c r="A94" t="s">
        <v>95</v>
      </c>
      <c r="B94">
        <v>0.72855834371795369</v>
      </c>
      <c r="C94">
        <v>1.5243318216198407</v>
      </c>
    </row>
    <row r="95" spans="1:3" x14ac:dyDescent="0.3">
      <c r="A95" t="s">
        <v>96</v>
      </c>
      <c r="B95">
        <v>0.75344944884334553</v>
      </c>
      <c r="C95">
        <v>2.3451258794151397</v>
      </c>
    </row>
    <row r="96" spans="1:3" x14ac:dyDescent="0.3">
      <c r="A96" t="s">
        <v>97</v>
      </c>
      <c r="B96">
        <v>9.7396046553613239E-2</v>
      </c>
      <c r="C96">
        <v>20.988876620765499</v>
      </c>
    </row>
    <row r="97" spans="1:3" x14ac:dyDescent="0.3">
      <c r="A97" t="s">
        <v>98</v>
      </c>
      <c r="B97">
        <v>0.14612735996983559</v>
      </c>
      <c r="C97">
        <v>11.491116809134185</v>
      </c>
    </row>
    <row r="98" spans="1:3" x14ac:dyDescent="0.3">
      <c r="A98" t="s">
        <v>99</v>
      </c>
      <c r="B98">
        <v>0.65273269210787266</v>
      </c>
      <c r="C98">
        <v>1.0553066457368128</v>
      </c>
    </row>
    <row r="99" spans="1:3" x14ac:dyDescent="0.3">
      <c r="A99" t="s">
        <v>100</v>
      </c>
      <c r="B99">
        <v>0.13594321075290092</v>
      </c>
      <c r="C99">
        <v>5.9800709925086055</v>
      </c>
    </row>
    <row r="100" spans="1:3" x14ac:dyDescent="0.3">
      <c r="A100" t="s">
        <v>101</v>
      </c>
      <c r="B100">
        <v>0.51665701268277786</v>
      </c>
      <c r="C100">
        <v>4.5729954648595221</v>
      </c>
    </row>
    <row r="101" spans="1:3" x14ac:dyDescent="0.3">
      <c r="A101" t="s">
        <v>102</v>
      </c>
      <c r="B101">
        <v>8.3785321853822051E-2</v>
      </c>
      <c r="C101">
        <v>24.975590615771235</v>
      </c>
    </row>
    <row r="102" spans="1:3" x14ac:dyDescent="0.3">
      <c r="A102" t="s">
        <v>103</v>
      </c>
      <c r="B102">
        <v>4.6608272167443926E-2</v>
      </c>
      <c r="C102">
        <v>32.597249723870441</v>
      </c>
    </row>
    <row r="103" spans="1:3" x14ac:dyDescent="0.3">
      <c r="A103" t="s">
        <v>104</v>
      </c>
      <c r="B103">
        <v>0.2182103153221846</v>
      </c>
      <c r="C103">
        <v>8.0906842839822328</v>
      </c>
    </row>
    <row r="104" spans="1:3" x14ac:dyDescent="0.3">
      <c r="A104" t="s">
        <v>105</v>
      </c>
      <c r="B104">
        <v>0.64558799156535007</v>
      </c>
      <c r="C104">
        <v>0.58628146985378493</v>
      </c>
    </row>
    <row r="105" spans="1:3" x14ac:dyDescent="0.3">
      <c r="A105" t="s">
        <v>106</v>
      </c>
      <c r="B105">
        <v>0.10257045029912053</v>
      </c>
      <c r="C105">
        <v>10.084041281485099</v>
      </c>
    </row>
    <row r="106" spans="1:3" x14ac:dyDescent="0.3">
      <c r="A106" t="s">
        <v>107</v>
      </c>
      <c r="B106">
        <v>0.12223575826001112</v>
      </c>
      <c r="C106">
        <v>19.699057387087173</v>
      </c>
    </row>
    <row r="107" spans="1:3" x14ac:dyDescent="0.3">
      <c r="A107" t="s">
        <v>108</v>
      </c>
      <c r="B107">
        <v>0.54376540642929383</v>
      </c>
      <c r="C107">
        <v>4.8075080528010368</v>
      </c>
    </row>
    <row r="108" spans="1:3" x14ac:dyDescent="0.3">
      <c r="A108" t="s">
        <v>109</v>
      </c>
      <c r="B108">
        <v>0.14827475737646861</v>
      </c>
      <c r="C108">
        <v>1.1725629397075699</v>
      </c>
    </row>
    <row r="109" spans="1:3" x14ac:dyDescent="0.3">
      <c r="A109" t="s">
        <v>110</v>
      </c>
      <c r="B109">
        <v>3.7669072735250622E-2</v>
      </c>
      <c r="C109">
        <v>7.6216591080992044</v>
      </c>
    </row>
    <row r="110" spans="1:3" x14ac:dyDescent="0.3">
      <c r="A110" t="s">
        <v>111</v>
      </c>
      <c r="B110">
        <v>2.3894654904006371E-2</v>
      </c>
      <c r="C110">
        <v>39.398114774174346</v>
      </c>
    </row>
    <row r="111" spans="1:3" x14ac:dyDescent="0.3">
      <c r="A111" t="s">
        <v>112</v>
      </c>
      <c r="B111">
        <v>0.18427185415842889</v>
      </c>
      <c r="C111">
        <v>1.9933569975028689</v>
      </c>
    </row>
    <row r="112" spans="1:3" x14ac:dyDescent="0.3">
      <c r="A112" t="s">
        <v>113</v>
      </c>
      <c r="B112">
        <v>2.3033050514861144</v>
      </c>
      <c r="C112">
        <v>0.23451258794151397</v>
      </c>
    </row>
    <row r="113" spans="1:3" x14ac:dyDescent="0.3">
      <c r="A113" t="s">
        <v>114</v>
      </c>
      <c r="B113">
        <v>0.68695023538690825</v>
      </c>
      <c r="C113">
        <v>3.0486636432396814</v>
      </c>
    </row>
    <row r="114" spans="1:3" x14ac:dyDescent="0.3">
      <c r="A114" t="s">
        <v>115</v>
      </c>
      <c r="B114">
        <v>1.8781759598561301</v>
      </c>
      <c r="C114">
        <v>0.23451258794151397</v>
      </c>
    </row>
    <row r="115" spans="1:3" x14ac:dyDescent="0.3">
      <c r="A115" t="s">
        <v>116</v>
      </c>
      <c r="B115">
        <v>1.5424593195070144</v>
      </c>
      <c r="C115" t="s">
        <v>218</v>
      </c>
    </row>
    <row r="116" spans="1:3" x14ac:dyDescent="0.3">
      <c r="A116" t="s">
        <v>117</v>
      </c>
      <c r="B116">
        <v>2.3763068004502497E-2</v>
      </c>
      <c r="C116">
        <v>26.38266614342032</v>
      </c>
    </row>
    <row r="117" spans="1:3" x14ac:dyDescent="0.3">
      <c r="A117" t="s">
        <v>118</v>
      </c>
      <c r="B117">
        <v>2.3419512805540495E-2</v>
      </c>
      <c r="C117">
        <v>37.991039246525261</v>
      </c>
    </row>
    <row r="118" spans="1:3" x14ac:dyDescent="0.3">
      <c r="A118" t="s">
        <v>119</v>
      </c>
      <c r="B118">
        <v>0.48898566503275892</v>
      </c>
      <c r="C118">
        <v>9.6150161056020735</v>
      </c>
    </row>
    <row r="119" spans="1:3" x14ac:dyDescent="0.3">
      <c r="A119" t="s">
        <v>120</v>
      </c>
      <c r="B119">
        <v>0.33419240494891606</v>
      </c>
      <c r="C119">
        <v>3.5176888191227094</v>
      </c>
    </row>
    <row r="120" spans="1:3" x14ac:dyDescent="0.3">
      <c r="A120" t="s">
        <v>121</v>
      </c>
      <c r="B120">
        <v>3.9353938792357927E-2</v>
      </c>
      <c r="C120">
        <v>39.163602186232836</v>
      </c>
    </row>
    <row r="121" spans="1:3" x14ac:dyDescent="0.3">
      <c r="A121" t="s">
        <v>122</v>
      </c>
      <c r="B121">
        <v>0.92467310717517459</v>
      </c>
      <c r="C121">
        <v>0.23451258794151397</v>
      </c>
    </row>
    <row r="122" spans="1:3" x14ac:dyDescent="0.3">
      <c r="A122" t="s">
        <v>123</v>
      </c>
      <c r="B122">
        <v>9.2063689546293848E-2</v>
      </c>
      <c r="C122">
        <v>22.864977324297612</v>
      </c>
    </row>
    <row r="123" spans="1:3" x14ac:dyDescent="0.3">
      <c r="A123" t="s">
        <v>124</v>
      </c>
      <c r="B123">
        <v>0</v>
      </c>
      <c r="C123">
        <v>0</v>
      </c>
    </row>
    <row r="124" spans="1:3" x14ac:dyDescent="0.3">
      <c r="A124" t="s">
        <v>125</v>
      </c>
      <c r="B124">
        <v>9.1700917776951218E-2</v>
      </c>
      <c r="C124">
        <v>21.809670678560799</v>
      </c>
    </row>
    <row r="125" spans="1:3" x14ac:dyDescent="0.3">
      <c r="A125" t="s">
        <v>126</v>
      </c>
      <c r="B125">
        <v>0.38729462835063666</v>
      </c>
      <c r="C125">
        <v>5.0420206407425496</v>
      </c>
    </row>
    <row r="126" spans="1:3" x14ac:dyDescent="0.3">
      <c r="A126" t="s">
        <v>127</v>
      </c>
      <c r="B126">
        <v>0.31545827786108788</v>
      </c>
      <c r="C126">
        <v>4.4557391708887648</v>
      </c>
    </row>
    <row r="127" spans="1:3" x14ac:dyDescent="0.3">
      <c r="A127" t="s">
        <v>128</v>
      </c>
      <c r="B127">
        <v>5.3564328463298234E-2</v>
      </c>
      <c r="C127">
        <v>27.320716495186378</v>
      </c>
    </row>
    <row r="128" spans="1:3" x14ac:dyDescent="0.3">
      <c r="A128" t="s">
        <v>129</v>
      </c>
      <c r="B128">
        <v>0.18371326151721115</v>
      </c>
      <c r="C128">
        <v>8.3251968719237457</v>
      </c>
    </row>
    <row r="129" spans="1:3" x14ac:dyDescent="0.3">
      <c r="A129" t="s">
        <v>130</v>
      </c>
      <c r="B129">
        <v>0.24586616047437457</v>
      </c>
      <c r="C129">
        <v>8.6769657538360168</v>
      </c>
    </row>
    <row r="130" spans="1:3" x14ac:dyDescent="0.3">
      <c r="A130" t="s">
        <v>131</v>
      </c>
      <c r="B130">
        <v>2.8659640657364869</v>
      </c>
      <c r="C130">
        <v>0</v>
      </c>
    </row>
    <row r="131" spans="1:3" x14ac:dyDescent="0.3">
      <c r="A131" t="s">
        <v>132</v>
      </c>
      <c r="B131">
        <v>0.39814200391215898</v>
      </c>
      <c r="C131">
        <v>6.0973272864793628</v>
      </c>
    </row>
    <row r="132" spans="1:3" x14ac:dyDescent="0.3">
      <c r="A132" t="s">
        <v>133</v>
      </c>
      <c r="B132">
        <v>0.13201196769331211</v>
      </c>
      <c r="C132">
        <v>11.842885691046456</v>
      </c>
    </row>
    <row r="133" spans="1:3" x14ac:dyDescent="0.3">
      <c r="A133" t="s">
        <v>134</v>
      </c>
      <c r="B133">
        <v>2.1342523295111722E-2</v>
      </c>
      <c r="C133">
        <v>30.838405314309089</v>
      </c>
    </row>
    <row r="134" spans="1:3" x14ac:dyDescent="0.3">
      <c r="A134" t="s">
        <v>135</v>
      </c>
      <c r="B134">
        <v>7.3958550821651023E-2</v>
      </c>
      <c r="C134">
        <v>24.389309145917451</v>
      </c>
    </row>
    <row r="135" spans="1:3" x14ac:dyDescent="0.3">
      <c r="A135" t="s">
        <v>136</v>
      </c>
      <c r="B135">
        <v>0.14738952241217546</v>
      </c>
      <c r="C135">
        <v>8.5597094598652586</v>
      </c>
    </row>
    <row r="136" spans="1:3" x14ac:dyDescent="0.3">
      <c r="A136" t="s">
        <v>137</v>
      </c>
      <c r="B136">
        <v>0.20125550738027023</v>
      </c>
      <c r="C136" t="s">
        <v>218</v>
      </c>
    </row>
    <row r="137" spans="1:3" x14ac:dyDescent="0.3">
      <c r="A137" t="s">
        <v>138</v>
      </c>
      <c r="B137">
        <v>7.2264526413074265E-2</v>
      </c>
      <c r="C137">
        <v>25.679128379595777</v>
      </c>
    </row>
    <row r="138" spans="1:3" x14ac:dyDescent="0.3">
      <c r="A138" t="s">
        <v>139</v>
      </c>
      <c r="B138">
        <v>1.0141782736414018</v>
      </c>
      <c r="C138">
        <v>1.9933569975028689</v>
      </c>
    </row>
    <row r="139" spans="1:3" x14ac:dyDescent="0.3">
      <c r="A139" t="s">
        <v>140</v>
      </c>
      <c r="B139">
        <v>0.69874215787344141</v>
      </c>
      <c r="C139">
        <v>5.3937895226548207</v>
      </c>
    </row>
    <row r="140" spans="1:3" x14ac:dyDescent="0.3">
      <c r="A140" t="s">
        <v>141</v>
      </c>
      <c r="B140">
        <v>0.10954452856822421</v>
      </c>
      <c r="C140">
        <v>16.884906331789004</v>
      </c>
    </row>
    <row r="141" spans="1:3" x14ac:dyDescent="0.3">
      <c r="A141" t="s">
        <v>142</v>
      </c>
      <c r="B141">
        <v>2.5889739379125972E-2</v>
      </c>
      <c r="C141">
        <v>39.632627362115862</v>
      </c>
    </row>
    <row r="142" spans="1:3" x14ac:dyDescent="0.3">
      <c r="A142" t="s">
        <v>143</v>
      </c>
      <c r="B142">
        <v>8.0998828865348801E-2</v>
      </c>
      <c r="C142">
        <v>23.920283970034422</v>
      </c>
    </row>
    <row r="143" spans="1:3" x14ac:dyDescent="0.3">
      <c r="A143" t="s">
        <v>144</v>
      </c>
      <c r="B143">
        <v>7.4730346891390921E-3</v>
      </c>
      <c r="C143" t="s">
        <v>218</v>
      </c>
    </row>
    <row r="144" spans="1:3" x14ac:dyDescent="0.3">
      <c r="A144" t="s">
        <v>145</v>
      </c>
      <c r="B144">
        <v>0.34076975891914407</v>
      </c>
      <c r="C144">
        <v>7.0353776382454187</v>
      </c>
    </row>
    <row r="145" spans="1:3" x14ac:dyDescent="0.3">
      <c r="A145" t="s">
        <v>146</v>
      </c>
      <c r="B145">
        <v>1.2870997997255449</v>
      </c>
      <c r="C145">
        <v>2.3451258794151397</v>
      </c>
    </row>
    <row r="146" spans="1:3" x14ac:dyDescent="0.3">
      <c r="A146" t="s">
        <v>147</v>
      </c>
      <c r="B146">
        <v>0.52292856894669981</v>
      </c>
      <c r="C146">
        <v>3.0486636432396814</v>
      </c>
    </row>
    <row r="147" spans="1:3" x14ac:dyDescent="0.3">
      <c r="A147" t="s">
        <v>148</v>
      </c>
      <c r="B147">
        <v>7.9099955461337537E-2</v>
      </c>
      <c r="C147">
        <v>27.555229083127887</v>
      </c>
    </row>
    <row r="148" spans="1:3" x14ac:dyDescent="0.3">
      <c r="A148" t="s">
        <v>149</v>
      </c>
      <c r="B148">
        <v>0.19547476408317738</v>
      </c>
      <c r="C148">
        <v>3.5176888191227094</v>
      </c>
    </row>
    <row r="149" spans="1:3" x14ac:dyDescent="0.3">
      <c r="A149" t="s">
        <v>150</v>
      </c>
      <c r="B149">
        <v>6.534380941750903E-2</v>
      </c>
      <c r="C149">
        <v>6.6836087563331485</v>
      </c>
    </row>
    <row r="150" spans="1:3" x14ac:dyDescent="0.3">
      <c r="A150" t="s">
        <v>151</v>
      </c>
      <c r="B150">
        <v>0.5225594891308466</v>
      </c>
      <c r="C150">
        <v>3.0486636432396814</v>
      </c>
    </row>
    <row r="151" spans="1:3" x14ac:dyDescent="0.3">
      <c r="A151" t="s">
        <v>152</v>
      </c>
      <c r="B151">
        <v>5.8804280323777512E-2</v>
      </c>
      <c r="C151">
        <v>20.168082562970199</v>
      </c>
    </row>
    <row r="152" spans="1:3" x14ac:dyDescent="0.3">
      <c r="A152" t="s">
        <v>153</v>
      </c>
      <c r="B152">
        <v>0.2333886669572055</v>
      </c>
      <c r="C152">
        <v>12.546423454870997</v>
      </c>
    </row>
    <row r="153" spans="1:3" x14ac:dyDescent="0.3">
      <c r="A153" t="s">
        <v>154</v>
      </c>
      <c r="B153">
        <v>0.22375219271008054</v>
      </c>
      <c r="C153">
        <v>7.152633932216176</v>
      </c>
    </row>
    <row r="154" spans="1:3" x14ac:dyDescent="0.3">
      <c r="A154" t="s">
        <v>155</v>
      </c>
      <c r="B154">
        <v>0.14962186714549461</v>
      </c>
      <c r="C154">
        <v>10.670322751338885</v>
      </c>
    </row>
    <row r="155" spans="1:3" x14ac:dyDescent="0.3">
      <c r="A155" t="s">
        <v>156</v>
      </c>
      <c r="B155">
        <v>0.61198037961390228</v>
      </c>
      <c r="C155">
        <v>3.0486636432396814</v>
      </c>
    </row>
    <row r="156" spans="1:3" x14ac:dyDescent="0.3">
      <c r="A156" t="s">
        <v>157</v>
      </c>
      <c r="B156">
        <v>0.62649947323250677</v>
      </c>
      <c r="C156">
        <v>2.3451258794151397</v>
      </c>
    </row>
    <row r="157" spans="1:3" x14ac:dyDescent="0.3">
      <c r="A157" t="s">
        <v>158</v>
      </c>
      <c r="B157">
        <v>0.61209798207333788</v>
      </c>
      <c r="C157">
        <v>0.8207940577952989</v>
      </c>
    </row>
    <row r="158" spans="1:3" x14ac:dyDescent="0.3">
      <c r="A158" t="s">
        <v>159</v>
      </c>
      <c r="B158">
        <v>1.4819298712851212</v>
      </c>
      <c r="C158">
        <v>0.35176888191227096</v>
      </c>
    </row>
    <row r="159" spans="1:3" x14ac:dyDescent="0.3">
      <c r="A159" t="s">
        <v>160</v>
      </c>
      <c r="B159">
        <v>0.59211002936711132</v>
      </c>
      <c r="C159">
        <v>3.8694577010349804</v>
      </c>
    </row>
    <row r="160" spans="1:3" x14ac:dyDescent="0.3">
      <c r="A160" t="s">
        <v>161</v>
      </c>
      <c r="B160">
        <v>0.59733096678554398</v>
      </c>
      <c r="C160">
        <v>3.1659199372104383</v>
      </c>
    </row>
    <row r="161" spans="1:3" x14ac:dyDescent="0.3">
      <c r="A161" t="s">
        <v>162</v>
      </c>
      <c r="B161">
        <v>4.7313751849937191E-2</v>
      </c>
      <c r="C161">
        <v>28.845048316806217</v>
      </c>
    </row>
    <row r="162" spans="1:3" x14ac:dyDescent="0.3">
      <c r="A162" t="s">
        <v>163</v>
      </c>
      <c r="B162">
        <v>0.41809761150233166</v>
      </c>
      <c r="C162">
        <v>1.5243318216198407</v>
      </c>
    </row>
    <row r="163" spans="1:3" x14ac:dyDescent="0.3">
      <c r="A163" t="s">
        <v>164</v>
      </c>
      <c r="B163">
        <v>0.34613092581358534</v>
      </c>
      <c r="C163">
        <v>1.2898192336783267</v>
      </c>
    </row>
    <row r="164" spans="1:3" x14ac:dyDescent="0.3">
      <c r="A164" t="s">
        <v>165</v>
      </c>
      <c r="B164">
        <v>0.27370749003716749</v>
      </c>
      <c r="C164">
        <v>4.1039702889764946</v>
      </c>
    </row>
    <row r="165" spans="1:3" x14ac:dyDescent="0.3">
      <c r="A165" t="s">
        <v>166</v>
      </c>
      <c r="B165">
        <v>9.3951676414367927E-2</v>
      </c>
      <c r="C165">
        <v>12.898192336783268</v>
      </c>
    </row>
    <row r="166" spans="1:3" x14ac:dyDescent="0.3">
      <c r="A166" t="s">
        <v>167</v>
      </c>
      <c r="B166">
        <v>1.1143274795161486</v>
      </c>
      <c r="C166">
        <v>0</v>
      </c>
    </row>
    <row r="167" spans="1:3" x14ac:dyDescent="0.3">
      <c r="A167" t="s">
        <v>168</v>
      </c>
      <c r="B167">
        <v>7.6933842892174212E-2</v>
      </c>
      <c r="C167">
        <v>15.008805628256894</v>
      </c>
    </row>
    <row r="168" spans="1:3" x14ac:dyDescent="0.3">
      <c r="A168" t="s">
        <v>169</v>
      </c>
      <c r="B168">
        <v>0.87727741193043596</v>
      </c>
      <c r="C168">
        <v>2.9314073492689245</v>
      </c>
    </row>
    <row r="169" spans="1:3" x14ac:dyDescent="0.3">
      <c r="A169" t="s">
        <v>170</v>
      </c>
      <c r="B169">
        <v>6.5541940198782747E-2</v>
      </c>
      <c r="C169">
        <v>18.17472556546733</v>
      </c>
    </row>
    <row r="170" spans="1:3" x14ac:dyDescent="0.3">
      <c r="A170" t="s">
        <v>171</v>
      </c>
      <c r="B170">
        <v>0.38324187043689761</v>
      </c>
      <c r="C170">
        <v>3.6349451130934662</v>
      </c>
    </row>
    <row r="171" spans="1:3" x14ac:dyDescent="0.3">
      <c r="A171" t="s">
        <v>172</v>
      </c>
      <c r="B171">
        <v>0.39035663141793497</v>
      </c>
      <c r="C171">
        <v>2.9314073492689245</v>
      </c>
    </row>
    <row r="172" spans="1:3" x14ac:dyDescent="0.3">
      <c r="A172" t="s">
        <v>173</v>
      </c>
      <c r="B172">
        <v>4.4413692607079683E-2</v>
      </c>
      <c r="C172">
        <v>29.783098668572272</v>
      </c>
    </row>
    <row r="173" spans="1:3" x14ac:dyDescent="0.3">
      <c r="A173" t="s">
        <v>174</v>
      </c>
      <c r="B173">
        <v>1.9556606023867307</v>
      </c>
      <c r="C173">
        <v>0</v>
      </c>
    </row>
    <row r="174" spans="1:3" x14ac:dyDescent="0.3">
      <c r="A174" t="s">
        <v>175</v>
      </c>
      <c r="B174">
        <v>0.68148540424617043</v>
      </c>
      <c r="C174">
        <v>0.11725629397075699</v>
      </c>
    </row>
    <row r="175" spans="1:3" x14ac:dyDescent="0.3">
      <c r="A175" t="s">
        <v>176</v>
      </c>
      <c r="B175">
        <v>0.56855438544775727</v>
      </c>
      <c r="C175">
        <v>2.3451258794151397</v>
      </c>
    </row>
    <row r="176" spans="1:3" x14ac:dyDescent="0.3">
      <c r="A176" t="s">
        <v>177</v>
      </c>
      <c r="B176">
        <v>0.70042127720572511</v>
      </c>
      <c r="C176">
        <v>1.7588444095613547</v>
      </c>
    </row>
    <row r="177" spans="1:3" x14ac:dyDescent="0.3">
      <c r="A177" t="s">
        <v>178</v>
      </c>
      <c r="B177">
        <v>3.4402472304650246E-2</v>
      </c>
      <c r="C177">
        <v>39.632627362115862</v>
      </c>
    </row>
    <row r="178" spans="1:3" x14ac:dyDescent="0.3">
      <c r="A178" t="s">
        <v>179</v>
      </c>
      <c r="B178">
        <v>2.0203938279375177E-2</v>
      </c>
      <c r="C178">
        <v>65.429012035682405</v>
      </c>
    </row>
    <row r="179" spans="1:3" x14ac:dyDescent="0.3">
      <c r="A179" t="s">
        <v>180</v>
      </c>
      <c r="B179">
        <v>0.19302425232185003</v>
      </c>
      <c r="C179">
        <v>3.4004325251519525</v>
      </c>
    </row>
    <row r="180" spans="1:3" x14ac:dyDescent="0.3">
      <c r="A180" t="s">
        <v>181</v>
      </c>
      <c r="B180">
        <v>0.71794874533377961</v>
      </c>
      <c r="C180">
        <v>1.8761007035321118</v>
      </c>
    </row>
    <row r="181" spans="1:3" x14ac:dyDescent="0.3">
      <c r="A181" t="s">
        <v>182</v>
      </c>
      <c r="B181">
        <v>9.7572233317206828E-3</v>
      </c>
      <c r="C181">
        <v>12.194654572958726</v>
      </c>
    </row>
    <row r="182" spans="1:3" x14ac:dyDescent="0.3">
      <c r="A182" t="s">
        <v>183</v>
      </c>
      <c r="B182">
        <v>0.71066493686550969</v>
      </c>
      <c r="C182">
        <v>2.9314073492689245</v>
      </c>
    </row>
    <row r="183" spans="1:3" x14ac:dyDescent="0.3">
      <c r="A183" t="s">
        <v>184</v>
      </c>
      <c r="B183">
        <v>0.18288818496268339</v>
      </c>
      <c r="C183">
        <v>9.73227239957283</v>
      </c>
    </row>
    <row r="184" spans="1:3" x14ac:dyDescent="0.3">
      <c r="A184" t="s">
        <v>185</v>
      </c>
      <c r="B184">
        <v>2.711964962449832E-2</v>
      </c>
      <c r="C184">
        <v>25.913640967537294</v>
      </c>
    </row>
    <row r="185" spans="1:3" x14ac:dyDescent="0.3">
      <c r="A185" t="s">
        <v>186</v>
      </c>
      <c r="B185">
        <v>0.2790729441920472</v>
      </c>
      <c r="C185">
        <v>8.7942220478067732</v>
      </c>
    </row>
    <row r="186" spans="1:3" x14ac:dyDescent="0.3">
      <c r="A186" t="s">
        <v>187</v>
      </c>
      <c r="B186">
        <v>0.89558599888082846</v>
      </c>
      <c r="C186">
        <v>1.2898192336783267</v>
      </c>
    </row>
    <row r="187" spans="1:3" x14ac:dyDescent="0.3">
      <c r="A187" t="s">
        <v>188</v>
      </c>
      <c r="B187">
        <v>1.1855689080239245</v>
      </c>
      <c r="C187">
        <v>0.70353776382454192</v>
      </c>
    </row>
    <row r="188" spans="1:3" x14ac:dyDescent="0.3">
      <c r="A188" t="s">
        <v>189</v>
      </c>
      <c r="B188">
        <v>5.9874507147844092E-2</v>
      </c>
      <c r="C188">
        <v>50.537462701396258</v>
      </c>
    </row>
    <row r="189" spans="1:3" x14ac:dyDescent="0.3">
      <c r="A189" t="s">
        <v>190</v>
      </c>
      <c r="B189">
        <v>2.2494854883272075</v>
      </c>
      <c r="C189">
        <v>2.1106132914736255</v>
      </c>
    </row>
    <row r="190" spans="1:3" x14ac:dyDescent="0.3">
      <c r="A190" t="s">
        <v>191</v>
      </c>
      <c r="B190">
        <v>6.944894001396773E-2</v>
      </c>
      <c r="C190">
        <v>26.851691319303349</v>
      </c>
    </row>
    <row r="191" spans="1:3" x14ac:dyDescent="0.3">
      <c r="A191" t="s">
        <v>192</v>
      </c>
      <c r="B191">
        <v>5.1259721268888545E-2</v>
      </c>
      <c r="C191">
        <v>27.437972789157136</v>
      </c>
    </row>
    <row r="192" spans="1:3" x14ac:dyDescent="0.3">
      <c r="A192" t="s">
        <v>193</v>
      </c>
      <c r="B192">
        <v>0.30948982771201977</v>
      </c>
      <c r="C192">
        <v>10.201297575455857</v>
      </c>
    </row>
    <row r="193" spans="1:3" x14ac:dyDescent="0.3">
      <c r="A193" t="s">
        <v>194</v>
      </c>
      <c r="B193">
        <v>5.9645648167517475E-2</v>
      </c>
      <c r="C193">
        <v>19.816313681057931</v>
      </c>
    </row>
    <row r="194" spans="1:3" x14ac:dyDescent="0.3">
      <c r="A194" t="s">
        <v>195</v>
      </c>
      <c r="B194">
        <v>4.0923542436928147E-2</v>
      </c>
      <c r="C194">
        <v>21.106132914736257</v>
      </c>
    </row>
    <row r="195" spans="1:3" x14ac:dyDescent="0.3">
      <c r="A195" t="s">
        <v>196</v>
      </c>
      <c r="B195">
        <v>0.10122723818020402</v>
      </c>
      <c r="C195">
        <v>20.51985144488247</v>
      </c>
    </row>
    <row r="196" spans="1:3" x14ac:dyDescent="0.3">
      <c r="A196" t="s">
        <v>197</v>
      </c>
      <c r="B196">
        <v>0.40929704307054454</v>
      </c>
      <c r="C196">
        <v>0.93805035176605589</v>
      </c>
    </row>
    <row r="197" spans="1:3" x14ac:dyDescent="0.3">
      <c r="A197" t="s">
        <v>198</v>
      </c>
      <c r="B197">
        <v>0.1803582842501292</v>
      </c>
      <c r="C197">
        <v>10.9048353392804</v>
      </c>
    </row>
    <row r="198" spans="1:3" x14ac:dyDescent="0.3">
      <c r="A198" t="s">
        <v>199</v>
      </c>
      <c r="B198">
        <v>0.51044083985664057</v>
      </c>
      <c r="C198">
        <v>6.5663524623623912</v>
      </c>
    </row>
    <row r="199" spans="1:3" x14ac:dyDescent="0.3">
      <c r="A199" t="s">
        <v>200</v>
      </c>
      <c r="B199">
        <v>0.27076106321577037</v>
      </c>
      <c r="C199">
        <v>13.249961218695539</v>
      </c>
    </row>
    <row r="200" spans="1:3" x14ac:dyDescent="0.3">
      <c r="A200" t="s">
        <v>201</v>
      </c>
      <c r="B200">
        <v>0.42649039436329611</v>
      </c>
      <c r="C200">
        <v>0.46902517588302794</v>
      </c>
    </row>
    <row r="201" spans="1:3" x14ac:dyDescent="0.3">
      <c r="A201" t="s">
        <v>202</v>
      </c>
      <c r="B201">
        <v>12.84609621576193</v>
      </c>
      <c r="C201">
        <v>18.64375074135036</v>
      </c>
    </row>
    <row r="202" spans="1:3" x14ac:dyDescent="0.3">
      <c r="A202" t="s">
        <v>203</v>
      </c>
      <c r="B202">
        <v>4.1241653117481361E-2</v>
      </c>
      <c r="C202">
        <v>28.962304610776975</v>
      </c>
    </row>
    <row r="203" spans="1:3" x14ac:dyDescent="0.3">
      <c r="A203" t="s">
        <v>204</v>
      </c>
      <c r="B203">
        <v>0.21762698499280358</v>
      </c>
      <c r="C203">
        <v>8.3251968719237457</v>
      </c>
    </row>
    <row r="204" spans="1:3" x14ac:dyDescent="0.3">
      <c r="A204" t="s">
        <v>205</v>
      </c>
      <c r="B204">
        <v>0.97022305978590118</v>
      </c>
      <c r="C204">
        <v>0.8207940577952989</v>
      </c>
    </row>
    <row r="205" spans="1:3" x14ac:dyDescent="0.3">
      <c r="A205" t="s">
        <v>206</v>
      </c>
      <c r="B205">
        <v>0.76055596916856327</v>
      </c>
      <c r="C205">
        <v>0.70353776382454192</v>
      </c>
    </row>
    <row r="206" spans="1:3" x14ac:dyDescent="0.3">
      <c r="A206" t="s">
        <v>207</v>
      </c>
      <c r="B206">
        <v>1.0582432680808074</v>
      </c>
      <c r="C206">
        <v>1.0553066457368128</v>
      </c>
    </row>
    <row r="207" spans="1:3" x14ac:dyDescent="0.3">
      <c r="A207" t="s">
        <v>208</v>
      </c>
      <c r="B207">
        <v>0.45730965705438514</v>
      </c>
      <c r="C207">
        <v>7.5044028141284471</v>
      </c>
    </row>
    <row r="208" spans="1:3" x14ac:dyDescent="0.3">
      <c r="A208" t="s">
        <v>209</v>
      </c>
      <c r="B208">
        <v>0.150949756503656</v>
      </c>
      <c r="C208">
        <v>21.457901796648528</v>
      </c>
    </row>
    <row r="209" spans="1:3" x14ac:dyDescent="0.3">
      <c r="A209" t="s">
        <v>210</v>
      </c>
      <c r="B209">
        <v>4.263865875251889E-2</v>
      </c>
      <c r="C209">
        <v>29.196817198718488</v>
      </c>
    </row>
    <row r="210" spans="1:3" x14ac:dyDescent="0.3">
      <c r="A210" t="s">
        <v>211</v>
      </c>
      <c r="B210">
        <v>7.5721655530737356E-2</v>
      </c>
      <c r="C210">
        <v>5.8628146985378491</v>
      </c>
    </row>
    <row r="211" spans="1:3" x14ac:dyDescent="0.3">
      <c r="A211" t="s">
        <v>212</v>
      </c>
      <c r="B211">
        <v>0.20763284768962137</v>
      </c>
      <c r="C211">
        <v>13.953498982520079</v>
      </c>
    </row>
    <row r="212" spans="1:3" x14ac:dyDescent="0.3">
      <c r="A212" t="s">
        <v>213</v>
      </c>
      <c r="B212">
        <v>0</v>
      </c>
      <c r="C212">
        <v>0</v>
      </c>
    </row>
    <row r="213" spans="1:3" x14ac:dyDescent="0.3">
      <c r="A213" t="s">
        <v>214</v>
      </c>
      <c r="B213">
        <v>0.302958971078715</v>
      </c>
      <c r="C213">
        <v>7.5044028141284471</v>
      </c>
    </row>
    <row r="214" spans="1:3" x14ac:dyDescent="0.3">
      <c r="A214" t="s">
        <v>215</v>
      </c>
      <c r="B214">
        <v>1.4036212004898376E-2</v>
      </c>
      <c r="C214">
        <v>33.652556369607254</v>
      </c>
    </row>
    <row r="215" spans="1:3" x14ac:dyDescent="0.3">
      <c r="A215" t="s">
        <v>216</v>
      </c>
      <c r="B215">
        <v>5.3705157873884642E-2</v>
      </c>
      <c r="C215">
        <v>2.1106132914736255</v>
      </c>
    </row>
    <row r="216" spans="1:3" x14ac:dyDescent="0.3">
      <c r="A216" t="s">
        <v>217</v>
      </c>
      <c r="B216">
        <v>5.5745465873397702E-2</v>
      </c>
      <c r="C216">
        <v>6.3318398744208766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613AEFFE-C095-42A7-A0AC-5564FFC1D1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calculating costs</vt:lpstr>
      <vt:lpstr>costs</vt:lpstr>
      <vt:lpstr>GDP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2025-07-09T10:04:54Z</dcterms:created>
  <dcterms:modified xsi:type="dcterms:W3CDTF">2026-06-22T13:57:54Z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1208402930880480264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